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ke Of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<sst xmlns="http://schemas.openxmlformats.org/spreadsheetml/2006/main" count="99" uniqueCount="96">
  <si>
    <t xml:space="preserve">AFFORDABLE QUALITY PAINTING</t>
  </si>
  <si>
    <t xml:space="preserve">Take Off Budget: Azur at Metrowest Full Exterior Repaint</t>
  </si>
  <si>
    <t xml:space="preserve">Internal use only. Prepared July 16, 2026. Do not send to customer.</t>
  </si>
  <si>
    <t xml:space="preserve">CUSTOMER</t>
  </si>
  <si>
    <t xml:space="preserve">Company</t>
  </si>
  <si>
    <t xml:space="preserve">GrandManors</t>
  </si>
  <si>
    <t xml:space="preserve">Contact</t>
  </si>
  <si>
    <t xml:space="preserve">Gaston H. Correa</t>
  </si>
  <si>
    <t xml:space="preserve">Phone</t>
  </si>
  <si>
    <t xml:space="preserve">407-297-4005</t>
  </si>
  <si>
    <t xml:space="preserve">Email</t>
  </si>
  <si>
    <t xml:space="preserve">gaston.correa@grandmanors.com</t>
  </si>
  <si>
    <t xml:space="preserve">Property</t>
  </si>
  <si>
    <t xml:space="preserve">Azur at Metrowest, 6432 Raleigh St, Orlando, FL 32835</t>
  </si>
  <si>
    <t xml:space="preserve">STRUCTURES AND SQUARE FOOTAGE</t>
  </si>
  <si>
    <t xml:space="preserve">Measure</t>
  </si>
  <si>
    <t xml:space="preserve">Style 1</t>
  </si>
  <si>
    <t xml:space="preserve">Style 2</t>
  </si>
  <si>
    <t xml:space="preserve">Clubhouse &amp; Pool</t>
  </si>
  <si>
    <t xml:space="preserve">Total</t>
  </si>
  <si>
    <t xml:space="preserve">Building envelope SF (per building)</t>
  </si>
  <si>
    <t xml:space="preserve">Buildings of this style</t>
  </si>
  <si>
    <t xml:space="preserve">Style subtotal SF</t>
  </si>
  <si>
    <t xml:space="preserve">Total units</t>
  </si>
  <si>
    <t xml:space="preserve">Elevation breakdown was not available for this property; per-building SF is carried from the prior full-envelope measure. Scope excludes stair railings and stair risers; metal material quantities kept at template ratios.</t>
  </si>
  <si>
    <t xml:space="preserve">SCHEDULE</t>
  </si>
  <si>
    <t xml:space="preserve">Estimated days to complete</t>
  </si>
  <si>
    <t xml:space="preserve">Weeks</t>
  </si>
  <si>
    <t xml:space="preserve">Buildings per week</t>
  </si>
  <si>
    <t xml:space="preserve">Units per week</t>
  </si>
  <si>
    <t xml:space="preserve">MATERIALS</t>
  </si>
  <si>
    <t xml:space="preserve">Item</t>
  </si>
  <si>
    <t xml:space="preserve">Basis</t>
  </si>
  <si>
    <t xml:space="preserve">Qty</t>
  </si>
  <si>
    <t xml:space="preserve">Unit cost</t>
  </si>
  <si>
    <t xml:space="preserve">Cost</t>
  </si>
  <si>
    <t xml:space="preserve">Latitude Exterior Satin</t>
  </si>
  <si>
    <t xml:space="preserve">1 gal per 200 SF</t>
  </si>
  <si>
    <t xml:space="preserve">Loxon Conditioner</t>
  </si>
  <si>
    <t xml:space="preserve">1 gal per 450 SF</t>
  </si>
  <si>
    <t xml:space="preserve">Shermax Ultra caulk</t>
  </si>
  <si>
    <t xml:space="preserve">1 tube per unit</t>
  </si>
  <si>
    <t xml:space="preserve">Elastomeric patching</t>
  </si>
  <si>
    <t xml:space="preserve">1 gal per building</t>
  </si>
  <si>
    <t xml:space="preserve">Full metal prime (Procryl)</t>
  </si>
  <si>
    <t xml:space="preserve">Units / 8 per gal</t>
  </si>
  <si>
    <t xml:space="preserve">Spot metal prime (Procryl)</t>
  </si>
  <si>
    <t xml:space="preserve">Chlorine</t>
  </si>
  <si>
    <t xml:space="preserve">20 gal per building</t>
  </si>
  <si>
    <t xml:space="preserve">Metal paint (Pre-Cat Gloss)</t>
  </si>
  <si>
    <t xml:space="preserve">Units / 5 per gal</t>
  </si>
  <si>
    <t xml:space="preserve">Tape, paper &amp; plastic sets</t>
  </si>
  <si>
    <t xml:space="preserve">0.5 set per unit</t>
  </si>
  <si>
    <t xml:space="preserve">Boom lift, 60-64 ft</t>
  </si>
  <si>
    <t xml:space="preserve">3 mo rental + delivery + diesel x days</t>
  </si>
  <si>
    <t xml:space="preserve">Storage, toilet &amp; dumpster</t>
  </si>
  <si>
    <t xml:space="preserve">3 mo combined + delivery each</t>
  </si>
  <si>
    <t xml:space="preserve">Materials subtotal</t>
  </si>
  <si>
    <t xml:space="preserve">Taxes and fees (10%)</t>
  </si>
  <si>
    <t xml:space="preserve">Materials total</t>
  </si>
  <si>
    <t xml:space="preserve">LABOR</t>
  </si>
  <si>
    <t xml:space="preserve">Labor rate per SF</t>
  </si>
  <si>
    <t xml:space="preserve">Rate carried from example takeoff template</t>
  </si>
  <si>
    <t xml:space="preserve">Labor cost</t>
  </si>
  <si>
    <t xml:space="preserve">COST BUILD-UP</t>
  </si>
  <si>
    <t xml:space="preserve">Costs (materials + labor)</t>
  </si>
  <si>
    <t xml:space="preserve">Admin (30% of costs)</t>
  </si>
  <si>
    <t xml:space="preserve">Commission (4% of costs + admin)</t>
  </si>
  <si>
    <t xml:space="preserve">Build-up total</t>
  </si>
  <si>
    <t xml:space="preserve">Build-up per SF</t>
  </si>
  <si>
    <t xml:space="preserve">Build-up per door</t>
  </si>
  <si>
    <t xml:space="preserve">QUOTE, PER CUSTOMER PDF</t>
  </si>
  <si>
    <t xml:space="preserve">Quoted total, per customer PDF</t>
  </si>
  <si>
    <t xml:space="preserve">Stated rate per SF on proposal</t>
  </si>
  <si>
    <t xml:space="preserve">Stated rate x SF does not equal quoted total; both carried from source PDF</t>
  </si>
  <si>
    <t xml:space="preserve">Effective rate per SF</t>
  </si>
  <si>
    <t xml:space="preserve">Quoted per door</t>
  </si>
  <si>
    <t xml:space="preserve">Margin over build-up</t>
  </si>
  <si>
    <t xml:space="preserve">Margin percent of quote</t>
  </si>
  <si>
    <t xml:space="preserve">ADDITIONAL WORK, PRICED SEPARATELY</t>
  </si>
  <si>
    <t xml:space="preserve">Window caulking overlay</t>
  </si>
  <si>
    <t xml:space="preserve">2,902 windows x $25, optional add-on, not in quote above</t>
  </si>
  <si>
    <t xml:space="preserve">Stucco repair Type 1</t>
  </si>
  <si>
    <t xml:space="preserve">No wood replacement, if discovered</t>
  </si>
  <si>
    <t xml:space="preserve">per SF</t>
  </si>
  <si>
    <t xml:space="preserve">Stucco repair Type 2</t>
  </si>
  <si>
    <t xml:space="preserve">With wood or framing replacement, if discovered</t>
  </si>
  <si>
    <t xml:space="preserve">Wood repair</t>
  </si>
  <si>
    <t xml:space="preserve">None identified on the property</t>
  </si>
  <si>
    <t xml:space="preserve">PAY SCHEDULE, ON QUOTED BASE CONTRACT</t>
  </si>
  <si>
    <t xml:space="preserve">Mobilization</t>
  </si>
  <si>
    <t xml:space="preserve">Draw 1</t>
  </si>
  <si>
    <t xml:space="preserve">Draw 2</t>
  </si>
  <si>
    <t xml:space="preserve">Draw 3</t>
  </si>
  <si>
    <t xml:space="preserve">Draw 4</t>
  </si>
  <si>
    <t xml:space="preserve">Draw 5, final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</si>
</sst>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\$#,##0.00"/>
    <numFmt numFmtId="168" formatCode="0.0%"/>
    <numFmt numFmtId="169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203A"/>
      <name val="Arial"/>
      <family val="0"/>
      <charset val="1"/>
    </font>
    <font>
      <b val="true"/>
      <sz val="11"/>
      <color rgb="FF6C7280"/>
      <name val="Arial"/>
      <family val="0"/>
      <charset val="1"/>
    </font>
    <font>
      <i val="true"/>
      <sz val="8.5"/>
      <color rgb="FF6C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4373E"/>
      <name val="Arial"/>
      <family val="0"/>
      <charset val="1"/>
    </font>
    <font>
      <sz val="9"/>
      <color rgb="FF34373E"/>
      <name val="Arial"/>
      <family val="0"/>
      <charset val="1"/>
    </font>
    <font>
      <b val="true"/>
      <sz val="9"/>
      <color rgb="FF10203A"/>
      <name val="Arial"/>
      <family val="0"/>
      <charset val="1"/>
    </font>
    <font>
      <i val="true"/>
      <sz val="8"/>
      <color rgb="FF6C7280"/>
      <name val="Arial"/>
      <family val="0"/>
      <charset val="1"/>
    </font>
    <font>
      <sz val="8"/>
      <color rgb="FF34373E"/>
      <name val="Arial"/>
      <family val="0"/>
      <charset val="1"/>
    </font>
    <font>
      <b val="true"/>
      <sz val="11"/>
      <color rgb="FF10203A"/>
      <name val="Arial"/>
      <family val="0"/>
      <charset val="1"/>
    </font>
    <font>
      <b val="true"/>
      <sz val="9"/>
      <color rgb="FFB00020"/>
      <name val="Arial"/>
      <family val="0"/>
      <charset val="1"/>
    </font>
    <font>
      <sz val="9"/>
      <color rgb="FFB0002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0203A"/>
        <bgColor rgb="FF003300"/>
      </patternFill>
    </fill>
    <fill>
      <patternFill patternType="solid">
        <fgColor rgb="FFF5F6FA"/>
        <bgColor rgb="FFFFFFFF"/>
      </patternFill>
    </fill>
    <fill>
      <patternFill patternType="solid">
        <fgColor rgb="FFFAF3E1"/>
        <bgColor rgb="FFF5F6FA"/>
      </patternFill>
    </fill>
    <fill>
      <patternFill patternType="solid">
        <fgColor rgb="FFE0A038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E6EC"/>
      </left>
      <right style="thin">
        <color rgb="FFE3E6EC"/>
      </right>
      <top style="thin">
        <color rgb="FFE3E6EC"/>
      </top>
      <bottom style="thin">
        <color rgb="FFE3E6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3E1"/>
      <rgbColor rgb="FFF5F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6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A038"/>
      <rgbColor rgb="FFFF6600"/>
      <rgbColor rgb="FF6C7280"/>
      <rgbColor rgb="FF969696"/>
      <rgbColor rgb="FF10203A"/>
      <rgbColor rgb="FF339966"/>
      <rgbColor rgb="FF003300"/>
      <rgbColor rgb="FF333300"/>
      <rgbColor rgb="FF993300"/>
      <rgbColor rgb="FF993366"/>
      <rgbColor rgb="FF333399"/>
      <rgbColor rgb="FF3437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8" hidden="false" customHeight="true" outlineLevel="0" collapsed="false">
      <c r="A5" s="4" t="s">
        <v>3</v>
      </c>
      <c r="B5" s="4"/>
      <c r="C5" s="4"/>
      <c r="D5" s="4"/>
      <c r="E5" s="4"/>
    </row>
    <row r="6" customFormat="false" ht="15" hidden="false" customHeight="false" outlineLevel="0" collapsed="false">
      <c r="A6" s="5" t="s">
        <v>4</v>
      </c>
      <c r="B6" s="6" t="s">
        <v>5</v>
      </c>
      <c r="C6" s="6"/>
      <c r="D6" s="6"/>
      <c r="E6" s="6"/>
    </row>
    <row r="7" customFormat="false" ht="15" hidden="false" customHeight="false" outlineLevel="0" collapsed="false">
      <c r="A7" s="5" t="s">
        <v>6</v>
      </c>
      <c r="B7" s="6" t="s">
        <v>7</v>
      </c>
      <c r="C7" s="6"/>
      <c r="D7" s="6"/>
      <c r="E7" s="6"/>
    </row>
    <row r="8" customFormat="false" ht="15" hidden="false" customHeight="false" outlineLevel="0" collapsed="false">
      <c r="A8" s="5" t="s">
        <v>8</v>
      </c>
      <c r="B8" s="6" t="s">
        <v>9</v>
      </c>
      <c r="C8" s="6"/>
      <c r="D8" s="6"/>
      <c r="E8" s="6"/>
    </row>
    <row r="9" customFormat="false" ht="15" hidden="false" customHeight="false" outlineLevel="0" collapsed="false">
      <c r="A9" s="5" t="s">
        <v>10</v>
      </c>
      <c r="B9" s="6" t="s">
        <v>11</v>
      </c>
      <c r="C9" s="6"/>
      <c r="D9" s="6"/>
      <c r="E9" s="6"/>
    </row>
    <row r="10" customFormat="false" ht="15" hidden="false" customHeight="false" outlineLevel="0" collapsed="false">
      <c r="A10" s="5" t="s">
        <v>12</v>
      </c>
      <c r="B10" s="6" t="s">
        <v>13</v>
      </c>
      <c r="C10" s="6"/>
      <c r="D10" s="6"/>
      <c r="E10" s="6"/>
    </row>
    <row r="12" customFormat="false" ht="18" hidden="false" customHeight="true" outlineLevel="0" collapsed="false">
      <c r="A12" s="4" t="s">
        <v>14</v>
      </c>
      <c r="B12" s="4"/>
      <c r="C12" s="4"/>
      <c r="D12" s="4"/>
      <c r="E12" s="4"/>
    </row>
    <row r="13" customFormat="false" ht="15" hidden="false" customHeight="false" outlineLevel="0" collapsed="false">
      <c r="A13" s="7" t="s">
        <v>15</v>
      </c>
      <c r="B13" s="8" t="s">
        <v>16</v>
      </c>
      <c r="C13" s="8" t="s">
        <v>17</v>
      </c>
      <c r="D13" s="8" t="s">
        <v>18</v>
      </c>
      <c r="E13" s="8" t="s">
        <v>19</v>
      </c>
    </row>
    <row r="14" customFormat="false" ht="15" hidden="false" customHeight="false" outlineLevel="0" collapsed="false">
      <c r="A14" s="9" t="s">
        <v>20</v>
      </c>
      <c r="B14" s="10" t="n">
        <v>10222</v>
      </c>
      <c r="C14" s="10" t="n">
        <v>11600</v>
      </c>
      <c r="D14" s="10" t="n">
        <v>5400</v>
      </c>
      <c r="E14" s="11"/>
    </row>
    <row r="15" customFormat="false" ht="15" hidden="false" customHeight="false" outlineLevel="0" collapsed="false">
      <c r="A15" s="9" t="s">
        <v>21</v>
      </c>
      <c r="B15" s="10" t="n">
        <v>23</v>
      </c>
      <c r="C15" s="10" t="n">
        <v>10</v>
      </c>
      <c r="D15" s="10" t="n">
        <v>1</v>
      </c>
      <c r="E15" s="12" t="n">
        <f aca="false">SUM(B15:D15)</f>
        <v>34</v>
      </c>
    </row>
    <row r="16" customFormat="false" ht="15" hidden="false" customHeight="false" outlineLevel="0" collapsed="false">
      <c r="A16" s="13" t="s">
        <v>22</v>
      </c>
      <c r="B16" s="12" t="n">
        <f aca="false">B14*B15</f>
        <v>235106</v>
      </c>
      <c r="C16" s="12" t="n">
        <f aca="false">C14*C15</f>
        <v>116000</v>
      </c>
      <c r="D16" s="12" t="n">
        <f aca="false">D14*D15</f>
        <v>5400</v>
      </c>
      <c r="E16" s="14" t="n">
        <f aca="false">SUM(B16:D16)</f>
        <v>356506</v>
      </c>
    </row>
    <row r="17" customFormat="false" ht="15" hidden="false" customHeight="false" outlineLevel="0" collapsed="false">
      <c r="A17" s="9" t="s">
        <v>23</v>
      </c>
      <c r="B17" s="10" t="n">
        <v>311</v>
      </c>
      <c r="C17" s="11"/>
      <c r="D17" s="11"/>
      <c r="E17" s="11"/>
    </row>
    <row r="18" customFormat="false" ht="15" hidden="false" customHeight="false" outlineLevel="0" collapsed="false">
      <c r="A18" s="15" t="s">
        <v>24</v>
      </c>
      <c r="B18" s="15"/>
      <c r="C18" s="15"/>
      <c r="D18" s="15"/>
      <c r="E18" s="15"/>
    </row>
    <row r="20" customFormat="false" ht="18" hidden="false" customHeight="true" outlineLevel="0" collapsed="false">
      <c r="A20" s="4" t="s">
        <v>25</v>
      </c>
      <c r="B20" s="4"/>
      <c r="C20" s="4"/>
      <c r="D20" s="4"/>
      <c r="E20" s="4"/>
    </row>
    <row r="21" customFormat="false" ht="15" hidden="false" customHeight="false" outlineLevel="0" collapsed="false">
      <c r="A21" s="16" t="s">
        <v>26</v>
      </c>
      <c r="B21" s="17" t="n">
        <v>90</v>
      </c>
    </row>
    <row r="22" customFormat="false" ht="15" hidden="false" customHeight="false" outlineLevel="0" collapsed="false">
      <c r="A22" s="16" t="s">
        <v>27</v>
      </c>
      <c r="B22" s="18" t="n">
        <f aca="false">B21/7</f>
        <v>12.8571428571429</v>
      </c>
    </row>
    <row r="23" customFormat="false" ht="15" hidden="false" customHeight="false" outlineLevel="0" collapsed="false">
      <c r="A23" s="16" t="s">
        <v>28</v>
      </c>
      <c r="B23" s="18" t="n">
        <f aca="false">E15/B22</f>
        <v>2.64444444444444</v>
      </c>
    </row>
    <row r="24" customFormat="false" ht="15" hidden="false" customHeight="false" outlineLevel="0" collapsed="false">
      <c r="A24" s="16" t="s">
        <v>29</v>
      </c>
      <c r="B24" s="18" t="n">
        <f aca="false">B17/B22</f>
        <v>24.1888888888889</v>
      </c>
    </row>
    <row r="26" customFormat="false" ht="18" hidden="false" customHeight="true" outlineLevel="0" collapsed="false">
      <c r="A26" s="4" t="s">
        <v>30</v>
      </c>
      <c r="B26" s="4"/>
      <c r="C26" s="4"/>
      <c r="D26" s="4"/>
      <c r="E26" s="4"/>
    </row>
    <row r="27" customFormat="false" ht="15" hidden="false" customHeight="false" outlineLevel="0" collapsed="false">
      <c r="A27" s="7" t="s">
        <v>31</v>
      </c>
      <c r="B27" s="7" t="s">
        <v>32</v>
      </c>
      <c r="C27" s="8" t="s">
        <v>33</v>
      </c>
      <c r="D27" s="8" t="s">
        <v>34</v>
      </c>
      <c r="E27" s="8" t="s">
        <v>35</v>
      </c>
    </row>
    <row r="28" customFormat="false" ht="15" hidden="false" customHeight="false" outlineLevel="0" collapsed="false">
      <c r="A28" s="9" t="s">
        <v>36</v>
      </c>
      <c r="B28" s="19" t="s">
        <v>37</v>
      </c>
      <c r="C28" s="20" t="n">
        <f aca="false">$E$16/200</f>
        <v>1782.53</v>
      </c>
      <c r="D28" s="21" t="n">
        <v>34.53</v>
      </c>
      <c r="E28" s="21" t="n">
        <f aca="false">C28*D28</f>
        <v>61550.7609</v>
      </c>
    </row>
    <row r="29" customFormat="false" ht="15" hidden="false" customHeight="false" outlineLevel="0" collapsed="false">
      <c r="A29" s="9" t="s">
        <v>38</v>
      </c>
      <c r="B29" s="19" t="s">
        <v>39</v>
      </c>
      <c r="C29" s="20" t="n">
        <f aca="false">$E$16/450</f>
        <v>792.235555555556</v>
      </c>
      <c r="D29" s="21" t="n">
        <v>20.57</v>
      </c>
      <c r="E29" s="21" t="n">
        <f aca="false">C29*D29</f>
        <v>16296.2853777778</v>
      </c>
    </row>
    <row r="30" customFormat="false" ht="15" hidden="false" customHeight="false" outlineLevel="0" collapsed="false">
      <c r="A30" s="9" t="s">
        <v>40</v>
      </c>
      <c r="B30" s="19" t="s">
        <v>41</v>
      </c>
      <c r="C30" s="20" t="n">
        <f aca="false">$B$17</f>
        <v>311</v>
      </c>
      <c r="D30" s="21" t="n">
        <v>4.14</v>
      </c>
      <c r="E30" s="21" t="n">
        <f aca="false">C30*D30</f>
        <v>1287.54</v>
      </c>
    </row>
    <row r="31" customFormat="false" ht="15" hidden="false" customHeight="false" outlineLevel="0" collapsed="false">
      <c r="A31" s="9" t="s">
        <v>42</v>
      </c>
      <c r="B31" s="19" t="s">
        <v>43</v>
      </c>
      <c r="C31" s="20" t="n">
        <f aca="false">$E$15</f>
        <v>34</v>
      </c>
      <c r="D31" s="21" t="n">
        <v>41.81</v>
      </c>
      <c r="E31" s="21" t="n">
        <f aca="false">C31*D31</f>
        <v>1421.54</v>
      </c>
    </row>
    <row r="32" customFormat="false" ht="15" hidden="false" customHeight="false" outlineLevel="0" collapsed="false">
      <c r="A32" s="9" t="s">
        <v>44</v>
      </c>
      <c r="B32" s="19" t="s">
        <v>45</v>
      </c>
      <c r="C32" s="20" t="n">
        <f aca="false">$B$17/8</f>
        <v>38.875</v>
      </c>
      <c r="D32" s="21" t="n">
        <v>60.43</v>
      </c>
      <c r="E32" s="21" t="n">
        <f aca="false">C32*D32</f>
        <v>2349.21625</v>
      </c>
    </row>
    <row r="33" customFormat="false" ht="15" hidden="false" customHeight="false" outlineLevel="0" collapsed="false">
      <c r="A33" s="9" t="s">
        <v>46</v>
      </c>
      <c r="B33" s="19" t="s">
        <v>43</v>
      </c>
      <c r="C33" s="20" t="n">
        <f aca="false">$E$15</f>
        <v>34</v>
      </c>
      <c r="D33" s="21" t="n">
        <v>60.43</v>
      </c>
      <c r="E33" s="21" t="n">
        <f aca="false">C33*D33</f>
        <v>2054.62</v>
      </c>
    </row>
    <row r="34" customFormat="false" ht="15" hidden="false" customHeight="false" outlineLevel="0" collapsed="false">
      <c r="A34" s="9" t="s">
        <v>47</v>
      </c>
      <c r="B34" s="19" t="s">
        <v>48</v>
      </c>
      <c r="C34" s="20" t="n">
        <f aca="false">$E$15*20</f>
        <v>680</v>
      </c>
      <c r="D34" s="21" t="n">
        <v>1.96</v>
      </c>
      <c r="E34" s="21" t="n">
        <f aca="false">C34*D34</f>
        <v>1332.8</v>
      </c>
    </row>
    <row r="35" customFormat="false" ht="15" hidden="false" customHeight="false" outlineLevel="0" collapsed="false">
      <c r="A35" s="9" t="s">
        <v>49</v>
      </c>
      <c r="B35" s="19" t="s">
        <v>50</v>
      </c>
      <c r="C35" s="20" t="n">
        <f aca="false">$B$17/5</f>
        <v>62.2</v>
      </c>
      <c r="D35" s="21" t="n">
        <v>67.45</v>
      </c>
      <c r="E35" s="21" t="n">
        <f aca="false">C35*D35</f>
        <v>4195.39</v>
      </c>
    </row>
    <row r="36" customFormat="false" ht="15" hidden="false" customHeight="false" outlineLevel="0" collapsed="false">
      <c r="A36" s="9" t="s">
        <v>51</v>
      </c>
      <c r="B36" s="19" t="s">
        <v>52</v>
      </c>
      <c r="C36" s="20" t="n">
        <f aca="false">$B$17*0.5</f>
        <v>155.5</v>
      </c>
      <c r="D36" s="21" t="n">
        <v>20.1</v>
      </c>
      <c r="E36" s="21" t="n">
        <f aca="false">C36*D36</f>
        <v>3125.55</v>
      </c>
    </row>
    <row r="37" customFormat="false" ht="15" hidden="false" customHeight="false" outlineLevel="0" collapsed="false">
      <c r="A37" s="9" t="s">
        <v>53</v>
      </c>
      <c r="B37" s="19" t="s">
        <v>54</v>
      </c>
      <c r="C37" s="10" t="n">
        <v>1</v>
      </c>
      <c r="D37" s="21" t="n">
        <f aca="false">3*2210+1000+50*B21</f>
        <v>12130</v>
      </c>
      <c r="E37" s="21" t="n">
        <f aca="false">C37*D37</f>
        <v>12130</v>
      </c>
    </row>
    <row r="38" customFormat="false" ht="15" hidden="false" customHeight="false" outlineLevel="0" collapsed="false">
      <c r="A38" s="9" t="s">
        <v>55</v>
      </c>
      <c r="B38" s="19" t="s">
        <v>56</v>
      </c>
      <c r="C38" s="10" t="n">
        <v>1</v>
      </c>
      <c r="D38" s="21" t="n">
        <f aca="false">3*1210+3*500</f>
        <v>5130</v>
      </c>
      <c r="E38" s="21" t="n">
        <f aca="false">C38*D38</f>
        <v>5130</v>
      </c>
    </row>
    <row r="39" customFormat="false" ht="15" hidden="false" customHeight="false" outlineLevel="0" collapsed="false">
      <c r="A39" s="13" t="s">
        <v>57</v>
      </c>
      <c r="B39" s="11"/>
      <c r="C39" s="11"/>
      <c r="D39" s="11"/>
      <c r="E39" s="22" t="n">
        <f aca="false">SUM(E28:E38)</f>
        <v>110873.702527778</v>
      </c>
    </row>
    <row r="40" customFormat="false" ht="15" hidden="false" customHeight="false" outlineLevel="0" collapsed="false">
      <c r="A40" s="9" t="s">
        <v>58</v>
      </c>
      <c r="B40" s="11"/>
      <c r="C40" s="11"/>
      <c r="D40" s="11"/>
      <c r="E40" s="21" t="n">
        <f aca="false">E39*0.1</f>
        <v>11087.3702527778</v>
      </c>
    </row>
    <row r="41" customFormat="false" ht="15" hidden="false" customHeight="false" outlineLevel="0" collapsed="false">
      <c r="A41" s="13" t="s">
        <v>59</v>
      </c>
      <c r="B41" s="11"/>
      <c r="C41" s="11"/>
      <c r="D41" s="11"/>
      <c r="E41" s="23" t="n">
        <f aca="false">E39*1.1</f>
        <v>121961.072780556</v>
      </c>
    </row>
    <row r="43" customFormat="false" ht="18" hidden="false" customHeight="true" outlineLevel="0" collapsed="false">
      <c r="A43" s="4" t="s">
        <v>60</v>
      </c>
      <c r="B43" s="4"/>
      <c r="C43" s="4"/>
      <c r="D43" s="4"/>
      <c r="E43" s="4"/>
    </row>
    <row r="44" customFormat="false" ht="15" hidden="false" customHeight="false" outlineLevel="0" collapsed="false">
      <c r="A44" s="16" t="s">
        <v>61</v>
      </c>
      <c r="B44" s="24" t="n">
        <v>0.26</v>
      </c>
      <c r="C44" s="25" t="s">
        <v>62</v>
      </c>
    </row>
    <row r="45" customFormat="false" ht="15" hidden="false" customHeight="false" outlineLevel="0" collapsed="false">
      <c r="A45" s="5" t="s">
        <v>63</v>
      </c>
      <c r="B45" s="26" t="n">
        <f aca="false">B44*$E$16</f>
        <v>92691.56</v>
      </c>
    </row>
    <row r="47" customFormat="false" ht="18" hidden="false" customHeight="true" outlineLevel="0" collapsed="false">
      <c r="A47" s="4" t="s">
        <v>64</v>
      </c>
      <c r="B47" s="4"/>
      <c r="C47" s="4"/>
      <c r="D47" s="4"/>
      <c r="E47" s="4"/>
    </row>
    <row r="48" customFormat="false" ht="15" hidden="false" customHeight="false" outlineLevel="0" collapsed="false">
      <c r="A48" s="16" t="s">
        <v>65</v>
      </c>
      <c r="B48" s="24" t="n">
        <f aca="false">E41+B45</f>
        <v>214652.632780556</v>
      </c>
    </row>
    <row r="49" customFormat="false" ht="15" hidden="false" customHeight="false" outlineLevel="0" collapsed="false">
      <c r="A49" s="16" t="s">
        <v>66</v>
      </c>
      <c r="B49" s="24" t="n">
        <f aca="false">B48*0.3</f>
        <v>64395.7898341667</v>
      </c>
    </row>
    <row r="50" customFormat="false" ht="15" hidden="false" customHeight="false" outlineLevel="0" collapsed="false">
      <c r="A50" s="16" t="s">
        <v>67</v>
      </c>
      <c r="B50" s="24" t="n">
        <f aca="false">(B48+B49)*0.04</f>
        <v>11161.9369045889</v>
      </c>
    </row>
    <row r="51" customFormat="false" ht="15" hidden="false" customHeight="false" outlineLevel="0" collapsed="false">
      <c r="A51" s="5" t="s">
        <v>68</v>
      </c>
      <c r="B51" s="27" t="n">
        <f aca="false">B48+B49+B50</f>
        <v>290210.359519311</v>
      </c>
    </row>
    <row r="52" customFormat="false" ht="15" hidden="false" customHeight="false" outlineLevel="0" collapsed="false">
      <c r="A52" s="16" t="s">
        <v>69</v>
      </c>
      <c r="B52" s="24" t="n">
        <f aca="false">B51/$E$16</f>
        <v>0.814040603858872</v>
      </c>
    </row>
    <row r="53" customFormat="false" ht="15" hidden="false" customHeight="false" outlineLevel="0" collapsed="false">
      <c r="A53" s="16" t="s">
        <v>70</v>
      </c>
      <c r="B53" s="24" t="n">
        <f aca="false">B51/$B$17</f>
        <v>933.152281412576</v>
      </c>
    </row>
    <row r="55" customFormat="false" ht="18" hidden="false" customHeight="true" outlineLevel="0" collapsed="false">
      <c r="A55" s="4" t="s">
        <v>71</v>
      </c>
      <c r="B55" s="4"/>
      <c r="C55" s="4"/>
      <c r="D55" s="4"/>
      <c r="E55" s="4"/>
    </row>
    <row r="56" customFormat="false" ht="15" hidden="false" customHeight="false" outlineLevel="0" collapsed="false">
      <c r="A56" s="5" t="s">
        <v>72</v>
      </c>
      <c r="B56" s="28" t="n">
        <v>251129.48</v>
      </c>
    </row>
    <row r="57" customFormat="false" ht="15" hidden="false" customHeight="false" outlineLevel="0" collapsed="false">
      <c r="A57" s="16" t="s">
        <v>73</v>
      </c>
      <c r="B57" s="24" t="n">
        <v>0.74</v>
      </c>
      <c r="C57" s="25" t="s">
        <v>74</v>
      </c>
    </row>
    <row r="58" customFormat="false" ht="15" hidden="false" customHeight="false" outlineLevel="0" collapsed="false">
      <c r="A58" s="16" t="s">
        <v>75</v>
      </c>
      <c r="B58" s="24" t="n">
        <f aca="false">B56/$E$16</f>
        <v>0.704418663360505</v>
      </c>
    </row>
    <row r="59" customFormat="false" ht="15" hidden="false" customHeight="false" outlineLevel="0" collapsed="false">
      <c r="A59" s="16" t="s">
        <v>76</v>
      </c>
      <c r="B59" s="24" t="n">
        <f aca="false">B56/$B$17</f>
        <v>807.490289389068</v>
      </c>
    </row>
    <row r="60" customFormat="false" ht="15" hidden="false" customHeight="false" outlineLevel="0" collapsed="false">
      <c r="A60" s="16" t="s">
        <v>77</v>
      </c>
      <c r="B60" s="29" t="n">
        <f aca="false">B56-B51</f>
        <v>-39080.8795193112</v>
      </c>
    </row>
    <row r="61" customFormat="false" ht="15" hidden="false" customHeight="false" outlineLevel="0" collapsed="false">
      <c r="A61" s="16" t="s">
        <v>78</v>
      </c>
      <c r="B61" s="30" t="n">
        <f aca="false">B60/B56</f>
        <v>-0.155620437390748</v>
      </c>
    </row>
    <row r="63" customFormat="false" ht="18" hidden="false" customHeight="true" outlineLevel="0" collapsed="false">
      <c r="A63" s="4" t="s">
        <v>79</v>
      </c>
      <c r="B63" s="4"/>
      <c r="C63" s="4"/>
      <c r="D63" s="4"/>
      <c r="E63" s="4"/>
    </row>
    <row r="64" customFormat="false" ht="15" hidden="false" customHeight="false" outlineLevel="0" collapsed="false">
      <c r="A64" s="16" t="s">
        <v>80</v>
      </c>
      <c r="B64" s="31" t="s">
        <v>81</v>
      </c>
      <c r="C64" s="17" t="n">
        <v>2902</v>
      </c>
      <c r="D64" s="24" t="n">
        <v>25</v>
      </c>
      <c r="E64" s="26" t="n">
        <f aca="false">C64*D64</f>
        <v>72550</v>
      </c>
    </row>
    <row r="65" customFormat="false" ht="15" hidden="false" customHeight="false" outlineLevel="0" collapsed="false">
      <c r="A65" s="16" t="s">
        <v>82</v>
      </c>
      <c r="B65" s="31" t="s">
        <v>83</v>
      </c>
      <c r="D65" s="24" t="n">
        <v>36</v>
      </c>
      <c r="E65" s="31" t="s">
        <v>84</v>
      </c>
    </row>
    <row r="66" customFormat="false" ht="15" hidden="false" customHeight="false" outlineLevel="0" collapsed="false">
      <c r="A66" s="16" t="s">
        <v>85</v>
      </c>
      <c r="B66" s="31" t="s">
        <v>86</v>
      </c>
      <c r="D66" s="24" t="n">
        <v>62</v>
      </c>
      <c r="E66" s="31" t="s">
        <v>84</v>
      </c>
    </row>
    <row r="67" customFormat="false" ht="15" hidden="false" customHeight="false" outlineLevel="0" collapsed="false">
      <c r="A67" s="16" t="s">
        <v>87</v>
      </c>
      <c r="B67" s="31" t="s">
        <v>88</v>
      </c>
    </row>
    <row r="69" customFormat="false" ht="18" hidden="false" customHeight="true" outlineLevel="0" collapsed="false">
      <c r="A69" s="4" t="s">
        <v>89</v>
      </c>
      <c r="B69" s="4"/>
      <c r="C69" s="4"/>
      <c r="D69" s="4"/>
      <c r="E69" s="4"/>
    </row>
    <row r="70" customFormat="false" ht="15" hidden="false" customHeight="false" outlineLevel="0" collapsed="false">
      <c r="A70" s="16" t="s">
        <v>90</v>
      </c>
      <c r="B70" s="32" t="n">
        <v>0.1</v>
      </c>
      <c r="C70" s="24" t="n">
        <f aca="false">B70*$B$56</f>
        <v>25112.948</v>
      </c>
    </row>
    <row r="71" customFormat="false" ht="15" hidden="false" customHeight="false" outlineLevel="0" collapsed="false">
      <c r="A71" s="16" t="s">
        <v>91</v>
      </c>
      <c r="B71" s="32" t="n">
        <v>0.2</v>
      </c>
      <c r="C71" s="24" t="n">
        <f aca="false">B71*$B$56</f>
        <v>50225.896</v>
      </c>
    </row>
    <row r="72" customFormat="false" ht="15" hidden="false" customHeight="false" outlineLevel="0" collapsed="false">
      <c r="A72" s="16" t="s">
        <v>92</v>
      </c>
      <c r="B72" s="32" t="n">
        <v>0.2</v>
      </c>
      <c r="C72" s="24" t="n">
        <f aca="false">B72*$B$56</f>
        <v>50225.896</v>
      </c>
    </row>
    <row r="73" customFormat="false" ht="15" hidden="false" customHeight="false" outlineLevel="0" collapsed="false">
      <c r="A73" s="16" t="s">
        <v>93</v>
      </c>
      <c r="B73" s="32" t="n">
        <v>0.2</v>
      </c>
      <c r="C73" s="24" t="n">
        <f aca="false">B73*$B$56</f>
        <v>50225.896</v>
      </c>
    </row>
    <row r="74" customFormat="false" ht="15" hidden="false" customHeight="false" outlineLevel="0" collapsed="false">
      <c r="A74" s="16" t="s">
        <v>94</v>
      </c>
      <c r="B74" s="32" t="n">
        <v>0.2</v>
      </c>
      <c r="C74" s="24" t="n">
        <f aca="false">B74*$B$56</f>
        <v>50225.896</v>
      </c>
    </row>
    <row r="75" customFormat="false" ht="15" hidden="false" customHeight="false" outlineLevel="0" collapsed="false">
      <c r="A75" s="16" t="s">
        <v>95</v>
      </c>
      <c r="B75" s="32" t="n">
        <v>0.1</v>
      </c>
      <c r="C75" s="24" t="n">
        <f aca="false">B75*$B$56</f>
        <v>25112.948</v>
      </c>
    </row>
    <row r="76" customFormat="false" ht="15" hidden="false" customHeight="false" outlineLevel="0" collapsed="false">
      <c r="A76" s="5" t="s">
        <v>19</v>
      </c>
      <c r="B76" s="33" t="n">
        <f aca="false">SUM(B70:B75)</f>
        <v>1</v>
      </c>
      <c r="C76" s="26" t="n">
        <f aca="false">SUM(C70:C75)</f>
        <v>251129.48</v>
      </c>
    </row>
  </sheetData>
  <mergeCells count="18">
    <mergeCell ref="A1:E1"/>
    <mergeCell ref="A2:E2"/>
    <mergeCell ref="A3:E3"/>
    <mergeCell ref="A5:E5"/>
    <mergeCell ref="B6:E6"/>
    <mergeCell ref="B7:E7"/>
    <mergeCell ref="B8:E8"/>
    <mergeCell ref="B9:E9"/>
    <mergeCell ref="B10:E10"/>
    <mergeCell ref="A12:E12"/>
    <mergeCell ref="A18:E18"/>
    <mergeCell ref="A20:E20"/>
    <mergeCell ref="A26:E26"/>
    <mergeCell ref="A43:E43"/>
    <mergeCell ref="A47:E47"/>
    <mergeCell ref="A55:E55"/>
    <mergeCell ref="A63:E63"/>
    <mergeCell ref="A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2026-07-16T16:04:09Z</dcterms:created>
  <dc:creator>openpyxl</dc:creator>
  <dc:description/>
  <dc:language>en-US</dc:language>
  <cp:lastModifiedBy/>
  <dcterms:modified xsi:type="dcterms:W3CDTF">2026-07-16T16:04:09Z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